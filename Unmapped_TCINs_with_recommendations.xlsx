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pped TCINs" sheetId="1" state="visible" r:id="rId1"/>
    <sheet name="Summary" sheetId="2" state="visible" r:id="rId2"/>
    <sheet name="Judgment Calls" sheetId="3" state="visible" r:id="rId3"/>
    <sheet name="Method &amp; Valid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i val="1"/>
      <sz val="9"/>
    </font>
    <font>
      <name val="Arial"/>
      <b val="1"/>
      <sz val="13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0" pivotButton="0" quotePrefix="0" xfId="0"/>
    <xf numFmtId="3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8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9" fillId="0" borderId="0" applyAlignment="1" pivotButton="0" quotePrefix="0" xfId="0">
      <alignment vertical="top" wrapText="1"/>
    </xf>
    <xf numFmtId="0" fontId="10" fillId="2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Claude</author>
  </authors>
  <commentList>
    <comment ref="H1" authorId="0" shapeId="0">
      <text>
        <t>Recovered from bpd_raw.wkly_tcin_item (MODEL NUMBER) and bpd_raw.daily_inv_tcin_loc (MANUFACTURER_STYLE). None of these 10 TCINs exist in biom_canvas.dim_product today.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2" customWidth="1" min="2" max="2"/>
    <col width="20" customWidth="1" min="3" max="3"/>
    <col width="30" customWidth="1" min="4" max="4"/>
    <col width="18" customWidth="1" min="5" max="5"/>
    <col width="14" customWidth="1" min="6" max="6"/>
    <col width="32" customWidth="1" min="7" max="7"/>
    <col width="26" customWidth="1" min="8" max="8"/>
    <col width="22" customWidth="1" min="9" max="9"/>
    <col width="26" customWidth="1" min="10" max="10"/>
    <col width="17" customWidth="1" min="11" max="11"/>
    <col width="62" customWidth="1" min="12" max="12"/>
    <col width="62" customWidth="1" min="13" max="13"/>
  </cols>
  <sheetData>
    <row r="1" ht="46" customHeight="1">
      <c r="A1" s="1" t="inlineStr">
        <is>
          <t>TCIN</t>
        </is>
      </c>
      <c r="B1" s="1" t="inlineStr">
        <is>
          <t>Description</t>
        </is>
      </c>
      <c r="C1" s="1" t="inlineStr">
        <is>
          <t>Dept/Class (DPCI)</t>
        </is>
      </c>
      <c r="D1" s="1" t="inlineStr">
        <is>
          <t>Launch Status</t>
        </is>
      </c>
      <c r="E1" s="1" t="inlineStr">
        <is>
          <t>Shipcast Item Group</t>
        </is>
      </c>
      <c r="F1" s="1" t="inlineStr">
        <is>
          <t>6mo Units (Sep26-Feb27)</t>
        </is>
      </c>
      <c r="G1" s="1" t="inlineStr">
        <is>
          <t>Notes</t>
        </is>
      </c>
      <c r="H1" s="1" t="inlineStr">
        <is>
          <t>Manufacturer Style (Target item master)</t>
        </is>
      </c>
      <c r="I1" s="1" t="inlineStr">
        <is>
          <t>Recommended product_category</t>
        </is>
      </c>
      <c r="J1" s="1" t="inlineStr">
        <is>
          <t>Recommended product_sub_category</t>
        </is>
      </c>
      <c r="K1" s="1" t="inlineStr">
        <is>
          <t>Confidence</t>
        </is>
      </c>
      <c r="L1" s="1" t="inlineStr">
        <is>
          <t>Basis / Precedent</t>
        </is>
      </c>
      <c r="M1" s="1" t="inlineStr">
        <is>
          <t>Flag</t>
        </is>
      </c>
    </row>
    <row r="2">
      <c r="A2" s="2" t="inlineStr">
        <is>
          <t>1011278742</t>
        </is>
      </c>
      <c r="B2" s="2" t="inlineStr">
        <is>
          <t>Biom Sanitizing Go-Pack Holiday Bergamot Bloom - Hand Wipes - 20ct</t>
        </is>
      </c>
      <c r="C2" s="2" t="inlineStr">
        <is>
          <t>253/4 (253-04-0113)</t>
        </is>
      </c>
      <c r="D2" s="2" t="inlineStr">
        <is>
          <t>READY_FOR_ORDER, launches 2026-11-08</t>
        </is>
      </c>
      <c r="E2" s="2" t="inlineStr">
        <is>
          <t>D253-C4</t>
        </is>
      </c>
      <c r="F2" s="3" t="n">
        <v>102672</v>
      </c>
      <c r="G2" s="2" t="inlineStr">
        <is>
          <t>Largest volume in this set</t>
        </is>
      </c>
      <c r="H2" s="4" t="inlineStr">
        <is>
          <t>P-20WIP-SAN-BER-TRV</t>
        </is>
      </c>
      <c r="I2" s="5" t="inlineStr">
        <is>
          <t>Personal Care</t>
        </is>
      </c>
      <c r="J2" s="5" t="inlineStr">
        <is>
          <t>Sanitizing</t>
        </is>
      </c>
      <c r="K2" s="6" t="inlineStr">
        <is>
          <t>DECISION NEEDED</t>
        </is>
      </c>
      <c r="L2" s="4" t="inlineStr">
        <is>
          <t>Style matches %WIP-SAN-%. Direct precedent: P-20WIP-SAN-STL-TRV (TCIN 94979716), same 20ct go-pack form in the same dept/class 253-4, is Personal Care / Sanitizing. The BER scent code is already classified Sanitizing on CSP-WIP-SAN-BER-TRV-40.</t>
        </is>
      </c>
      <c r="M2" s="7" t="inlineStr">
        <is>
          <t>COLLISION: in the locked CASE, the product_title LIKE '%Holiday%' branch sits ABOVE the %WIP-SAN-% branch. Run as-is against this Target description and you get Other / Holiday &amp; Seasonal, not Sanitizing. 102,672 units - 25% of this set - turns on the call. See 'Judgment Calls'.</t>
        </is>
      </c>
    </row>
    <row r="3">
      <c r="A3" s="2" t="inlineStr">
        <is>
          <t>1011824789</t>
        </is>
      </c>
      <c r="B3" s="2" t="inlineStr">
        <is>
          <t>Biom Pine Forest Disinfecting Wipes Refill All-Purpose Cleaners - 60ct</t>
        </is>
      </c>
      <c r="C3" s="2" t="inlineStr">
        <is>
          <t>3/2 (003-02-0180)</t>
        </is>
      </c>
      <c r="D3" s="2" t="inlineStr">
        <is>
          <t>READY_FOR_ORDER, launches 2026-11-08</t>
        </is>
      </c>
      <c r="E3" s="2" t="inlineStr">
        <is>
          <t>D3-C2</t>
        </is>
      </c>
      <c r="F3" s="3" t="n">
        <v>47580</v>
      </c>
      <c r="G3" s="2" t="n"/>
      <c r="H3" s="4" t="inlineStr">
        <is>
          <t>P-60WIP-DSN-PIN</t>
        </is>
      </c>
      <c r="I3" s="8" t="inlineStr">
        <is>
          <t>Cleaning</t>
        </is>
      </c>
      <c r="J3" s="8" t="inlineStr">
        <is>
          <t>DSN</t>
        </is>
      </c>
      <c r="K3" s="4" t="inlineStr">
        <is>
          <t>High</t>
        </is>
      </c>
      <c r="L3" s="4" t="inlineStr">
        <is>
          <t>Style matches %WIP-DSN-%. Precedents P-60WIP-DSN-ALP (TCIN 94928289) and P-60WIP-DSN-CIT (TCIN 94928292), both dept/class 3-2, are Cleaning / DSN.</t>
        </is>
      </c>
      <c r="M3" s="4" t="inlineStr">
        <is>
          <t>Target's own class label reads 'All-Purpose Cleaners' - ignore it. The Biom style says DSN, and the taxonomy splits APC from DSN on the style, not on Target's merchandising label.</t>
        </is>
      </c>
    </row>
    <row r="4">
      <c r="A4" s="2" t="inlineStr">
        <is>
          <t>1012188490</t>
        </is>
      </c>
      <c r="B4" s="2" t="inlineStr">
        <is>
          <t>Biom Little Mess Baby Wipes Go-Pack Unscented - 30ct</t>
        </is>
      </c>
      <c r="C4" s="2" t="inlineStr">
        <is>
          <t>7/8 (007-08-0147)</t>
        </is>
      </c>
      <c r="D4" s="2" t="inlineStr">
        <is>
          <t>READY_FOR_ORDER, launches 2026-11-08</t>
        </is>
      </c>
      <c r="E4" s="2" t="inlineStr">
        <is>
          <t>D7</t>
        </is>
      </c>
      <c r="F4" s="3" t="n">
        <v>45696</v>
      </c>
      <c r="G4" s="2" t="inlineStr">
        <is>
          <t>Item master flags in_forecast=False but a live forecast exists</t>
        </is>
      </c>
      <c r="H4" s="4" t="inlineStr">
        <is>
          <t>P-30WIP-LIT-FRA</t>
        </is>
      </c>
      <c r="I4" s="8" t="inlineStr">
        <is>
          <t>Personal Care</t>
        </is>
      </c>
      <c r="J4" s="8" t="inlineStr">
        <is>
          <t>Baby</t>
        </is>
      </c>
      <c r="K4" s="4" t="inlineStr">
        <is>
          <t>High</t>
        </is>
      </c>
      <c r="L4" s="4" t="inlineStr">
        <is>
          <t>Precedent: P-40WIP-LIT-FRA (TCIN 1010810949), the same Little Mess line in the same dept/class 7-8, is Personal Care / Baby.</t>
        </is>
      </c>
      <c r="M4" s="4" t="inlineStr">
        <is>
          <t>FRAGILE: the LIT (Little Mess) style has no SKU-pattern branch of its own - it only classifies through the product_title LIKE '%Baby%' leg. Keep 'Baby' in the title you load, or it falls to Other / Unassigned. That is exactly why the three K-40WIP-LIT-FRA-*PK rows sit in Unassigned today.</t>
        </is>
      </c>
    </row>
    <row r="5">
      <c r="A5" s="2" t="inlineStr">
        <is>
          <t>1012188491</t>
        </is>
      </c>
      <c r="B5" s="2" t="inlineStr">
        <is>
          <t>Biom Baby Wipes Go-Pack Unscented - 30ct</t>
        </is>
      </c>
      <c r="C5" s="2" t="inlineStr">
        <is>
          <t>7/7 (007-07-0097)</t>
        </is>
      </c>
      <c r="D5" s="2" t="inlineStr">
        <is>
          <t>READY_FOR_ORDER, launches 2026-11-08</t>
        </is>
      </c>
      <c r="E5" s="2" t="inlineStr">
        <is>
          <t>D7</t>
        </is>
      </c>
      <c r="F5" s="3" t="n">
        <v>44232</v>
      </c>
      <c r="G5" s="2" t="inlineStr">
        <is>
          <t>Item master flags in_forecast=False but a live forecast exists</t>
        </is>
      </c>
      <c r="H5" s="4" t="inlineStr">
        <is>
          <t>P-30WIP-BAB-FRA</t>
        </is>
      </c>
      <c r="I5" s="8" t="inlineStr">
        <is>
          <t>Personal Care</t>
        </is>
      </c>
      <c r="J5" s="8" t="inlineStr">
        <is>
          <t>Baby</t>
        </is>
      </c>
      <c r="K5" s="4" t="inlineStr">
        <is>
          <t>High</t>
        </is>
      </c>
      <c r="L5" s="4" t="inlineStr">
        <is>
          <t>Style matches %WIP-BAB-%. Precedent: P-60WIP-BAB-FRA (TCIN 94799737), same dept/class 7-7, is Personal Care / Baby.</t>
        </is>
      </c>
      <c r="M5" s="4" t="n"/>
    </row>
    <row r="6">
      <c r="A6" s="2" t="inlineStr">
        <is>
          <t>1012914812</t>
        </is>
      </c>
      <c r="B6" s="2" t="inlineStr">
        <is>
          <t>Biom Santal Escape Cleaning Wipe Go-Pack All-Purpose Cleaners - 20ct</t>
        </is>
      </c>
      <c r="C6" s="2" t="inlineStr">
        <is>
          <t>3/2 (003-02-6507)</t>
        </is>
      </c>
      <c r="D6" s="2" t="inlineStr">
        <is>
          <t>READY_FOR_ORDER, launches 2027-02-21</t>
        </is>
      </c>
      <c r="E6" s="2" t="inlineStr">
        <is>
          <t>D3-C2</t>
        </is>
      </c>
      <c r="F6" s="3" t="n">
        <v>0</v>
      </c>
      <c r="G6" s="2" t="inlineStr">
        <is>
          <t>Pre-launch, no volume yet</t>
        </is>
      </c>
      <c r="H6" s="4" t="inlineStr">
        <is>
          <t>P-20WIP-AP-STL-TRV</t>
        </is>
      </c>
      <c r="I6" s="8" t="inlineStr">
        <is>
          <t>Cleaning</t>
        </is>
      </c>
      <c r="J6" s="8" t="inlineStr">
        <is>
          <t>APC</t>
        </is>
      </c>
      <c r="K6" s="4" t="inlineStr">
        <is>
          <t>High</t>
        </is>
      </c>
      <c r="L6" s="4" t="inlineStr">
        <is>
          <t>Style matches %WIP-AP-%. Precedents P-60WIP-AP-STL (TCIN 89854826) and the CSP-WIP-ALL-STL-TRV-40 travel pack are both Cleaning / APC.</t>
        </is>
      </c>
      <c r="M6" s="4" t="n"/>
    </row>
    <row r="7">
      <c r="A7" s="2" t="inlineStr">
        <is>
          <t>1012914813</t>
        </is>
      </c>
      <c r="B7" s="2" t="inlineStr">
        <is>
          <t>Biom Fresh Citrus Disinfecting Wipe Go-Pack All-Purpose Cleaners - 20ct</t>
        </is>
      </c>
      <c r="C7" s="2" t="inlineStr">
        <is>
          <t>3/2 (003-02-0555)</t>
        </is>
      </c>
      <c r="D7" s="2" t="inlineStr">
        <is>
          <t>READY_FOR_ORDER, launches 2027-02-21</t>
        </is>
      </c>
      <c r="E7" s="2" t="inlineStr">
        <is>
          <t>D3-C2</t>
        </is>
      </c>
      <c r="F7" s="3" t="n">
        <v>0</v>
      </c>
      <c r="G7" s="2" t="inlineStr">
        <is>
          <t>Pre-launch, no volume yet</t>
        </is>
      </c>
      <c r="H7" s="4" t="inlineStr">
        <is>
          <t>P-20WIP-DSN-CIT-TRV</t>
        </is>
      </c>
      <c r="I7" s="8" t="inlineStr">
        <is>
          <t>Cleaning</t>
        </is>
      </c>
      <c r="J7" s="8" t="inlineStr">
        <is>
          <t>DSN</t>
        </is>
      </c>
      <c r="K7" s="4" t="inlineStr">
        <is>
          <t>High</t>
        </is>
      </c>
      <c r="L7" s="4" t="inlineStr">
        <is>
          <t>Style matches %WIP-DSN-%. Precedent: P-60WIP-DSN-CIT (TCIN 94928292), same scent and form family, is Cleaning / DSN.</t>
        </is>
      </c>
      <c r="M7" s="4" t="inlineStr">
        <is>
          <t>Same label trap as 1011824789 - the description says 'All-Purpose Cleaners' but the style is DSN. These two go-packs are the disinfecting pair, not APC.</t>
        </is>
      </c>
    </row>
    <row r="8">
      <c r="A8" s="2" t="inlineStr">
        <is>
          <t>89854824</t>
        </is>
      </c>
      <c r="B8" s="2" t="inlineStr">
        <is>
          <t>Biom Grapefruit Zest All Purpose Cleaning Wipes Refill - 60ct</t>
        </is>
      </c>
      <c r="C8" s="2" t="inlineStr">
        <is>
          <t>3/2 (003-02-7792)</t>
        </is>
      </c>
      <c r="D8" s="2" t="inlineStr">
        <is>
          <t>READY_FOR_LAUNCH, launched 2024-04-28</t>
        </is>
      </c>
      <c r="E8" s="2" t="inlineStr">
        <is>
          <t>D3-C2</t>
        </is>
      </c>
      <c r="F8" s="3" t="n">
        <v>0</v>
      </c>
      <c r="G8" s="2" t="inlineStr">
        <is>
          <t>Launched 2+ years ago, no recent BPD signal</t>
        </is>
      </c>
      <c r="H8" s="4" t="inlineStr">
        <is>
          <t>P-60WIP-AP-GRA</t>
        </is>
      </c>
      <c r="I8" s="8" t="inlineStr">
        <is>
          <t>Cleaning</t>
        </is>
      </c>
      <c r="J8" s="8" t="inlineStr">
        <is>
          <t>APC</t>
        </is>
      </c>
      <c r="K8" s="4" t="inlineStr">
        <is>
          <t>High</t>
        </is>
      </c>
      <c r="L8" s="4" t="inlineStr">
        <is>
          <t>Style matches %WIP-AP-%. Sibling from the same 2024 launch cohort, P-60WIP-AP-LAV (TCIN 89854822), is Cleaning / APC.</t>
        </is>
      </c>
      <c r="M8" s="4" t="inlineStr">
        <is>
          <t>ROOT CAUSE: MODEL NUMBER is an empty string in the Target item master (bpd_raw.wkly_tcin_item), which is almost certainly why this one never mapped. The style shown here was recovered from the inventory feed (bpd_raw.daily_inv_tcin_loc).</t>
        </is>
      </c>
    </row>
    <row r="9">
      <c r="A9" s="2" t="inlineStr">
        <is>
          <t>95285660</t>
        </is>
      </c>
      <c r="B9" s="2" t="inlineStr">
        <is>
          <t>Biom Flushable Personal Wipes Fragrance Free - 120ct</t>
        </is>
      </c>
      <c r="C9" s="2" t="inlineStr">
        <is>
          <t>253/6 (253-06-1801)</t>
        </is>
      </c>
      <c r="D9" s="2" t="inlineStr">
        <is>
          <t>READY_FOR_ORDER, launches 2026-10-11</t>
        </is>
      </c>
      <c r="E9" s="2" t="inlineStr">
        <is>
          <t>NONE CONFIGURED</t>
        </is>
      </c>
      <c r="F9" s="3" t="n">
        <v>126000</v>
      </c>
      <c r="G9" s="2" t="inlineStr">
        <is>
          <t>2nd largest volume; no Shipcast item_group exists for dept/class 253-6</t>
        </is>
      </c>
      <c r="H9" s="4" t="inlineStr">
        <is>
          <t>P-60WIP-FLU-FRA-2PK</t>
        </is>
      </c>
      <c r="I9" s="8" t="inlineStr">
        <is>
          <t>Personal Care</t>
        </is>
      </c>
      <c r="J9" s="8" t="inlineStr">
        <is>
          <t>Flushable</t>
        </is>
      </c>
      <c r="K9" s="4" t="inlineStr">
        <is>
          <t>High</t>
        </is>
      </c>
      <c r="L9" s="4" t="inlineStr">
        <is>
          <t>Style matches %WIP-FLU-%. Precedents CSP-WIP-FLU-FRA-30 and P-60WIP-FLU-FRA are Personal Care / Flushable.</t>
        </is>
      </c>
      <c r="M9" s="4" t="inlineStr">
        <is>
          <t>The feeds disagree on style and count - item master says P-60WIP-FLU-FRA-2PK / 120ct, inventory also carries P-60WIP-FLU-FRA / 60ct. That is the casepack mismatch in your notes; it does not change the category, both map to Flushable.</t>
        </is>
      </c>
    </row>
    <row r="10">
      <c r="A10" s="2" t="inlineStr">
        <is>
          <t>95285661</t>
        </is>
      </c>
      <c r="B10" s="2" t="inlineStr">
        <is>
          <t>Biom Flushable Personal Wipes Unscented - 180ct</t>
        </is>
      </c>
      <c r="C10" s="2" t="inlineStr">
        <is>
          <t>253/6 (253-06-0085)</t>
        </is>
      </c>
      <c r="D10" s="2" t="inlineStr">
        <is>
          <t>READY_FOR_ORDER, launches 2026-10-11</t>
        </is>
      </c>
      <c r="E10" s="2" t="inlineStr">
        <is>
          <t>NONE CONFIGURED</t>
        </is>
      </c>
      <c r="F10" s="3" t="n">
        <v>1476</v>
      </c>
      <c r="G10" s="2" t="inlineStr">
        <is>
          <t>No item_group; casepack mismatch also flagged (Target 4-pack vs RDZ base-item units)</t>
        </is>
      </c>
      <c r="H10" s="4" t="inlineStr">
        <is>
          <t>K-60WIP-FLU-FRA-3Pk</t>
        </is>
      </c>
      <c r="I10" s="8" t="inlineStr">
        <is>
          <t>Personal Care</t>
        </is>
      </c>
      <c r="J10" s="8" t="inlineStr">
        <is>
          <t>Flushable</t>
        </is>
      </c>
      <c r="K10" s="4" t="inlineStr">
        <is>
          <t>High</t>
        </is>
      </c>
      <c r="L10" s="4" t="inlineStr">
        <is>
          <t>K- prefix but no kit word in the title and no DIS in the style, so it falls past every kit branch to %WIP-FLU-%. Its Shopify twin K-60WIP-FLU-FRA-3PK is Personal Care / Flushable.</t>
        </is>
      </c>
      <c r="M10" s="4" t="inlineStr">
        <is>
          <t>Target stores this style with a lowercase k ('3Pk') where Shopify has '3PK'. Harmless for the LIKE patterns, but it will break any exact-string join on the style.</t>
        </is>
      </c>
    </row>
    <row r="11">
      <c r="A11" s="2" t="inlineStr">
        <is>
          <t>95285662</t>
        </is>
      </c>
      <c r="B11" s="2" t="inlineStr">
        <is>
          <t>Biom White Flushable One Handed Kit Personal Wipes Unscented - 120ct</t>
        </is>
      </c>
      <c r="C11" s="2" t="inlineStr">
        <is>
          <t>253/6 (253-06-4305)</t>
        </is>
      </c>
      <c r="D11" s="2" t="inlineStr">
        <is>
          <t>READY_FOR_ORDER, launches 2026-10-11</t>
        </is>
      </c>
      <c r="E11" s="2" t="inlineStr">
        <is>
          <t>NONE CONFIGURED</t>
        </is>
      </c>
      <c r="F11" s="3" t="n">
        <v>35496</v>
      </c>
      <c r="G11" s="2" t="inlineStr">
        <is>
          <t>No item_group exists for dept/class 253-6</t>
        </is>
      </c>
      <c r="H11" s="4" t="inlineStr">
        <is>
          <t>K-DIS-2FLU-WHI</t>
        </is>
      </c>
      <c r="I11" s="5" t="inlineStr">
        <is>
          <t>Personal Care</t>
        </is>
      </c>
      <c r="J11" s="5" t="inlineStr">
        <is>
          <t>Bundles &amp; Kits</t>
        </is>
      </c>
      <c r="K11" s="6" t="inlineStr">
        <is>
          <t>DECISION NEEDED</t>
        </is>
      </c>
      <c r="L11" s="4" t="inlineStr">
        <is>
          <t>Closest precedent is the Shopify twin of this exact construction - K-DIS-WHI-FLU-FRA 'Flushable Wipes Starter Kit - Biom Home Dispenser' - which is Personal Care / Bundles &amp; Kits.</t>
        </is>
      </c>
      <c r="M11" s="7" t="inlineStr">
        <is>
          <t>COLLISION: the locked CASE matches this on K-%DIS-%FLU-% and returns Other / Bundles &amp; Kits, parking 35,496 units of flushable wipes under Other. The baby equivalent (K-DIS-2BAB-WHI) only escapes that because of an explicit carve-out branch; flushable has none. See 'Judgment Calls'.</t>
        </is>
      </c>
    </row>
    <row r="12">
      <c r="E12" s="9" t="inlineStr">
        <is>
          <t>Total</t>
        </is>
      </c>
      <c r="F12" s="10">
        <f>SUM(F2:F11)</f>
        <v/>
      </c>
    </row>
    <row r="14">
      <c r="A14" s="11" t="inlineStr">
        <is>
          <t>Highlighted rows need a human call before loading - see the 'Judgment Calls' tab. Every other row is what the locked SKU-pattern taxonomy in canvas_delta.py returns for that manufacturer style, confirmed against an existing product already carrying that category.</t>
        </is>
      </c>
    </row>
    <row r="15"/>
  </sheetData>
  <mergeCells count="1">
    <mergeCell ref="A14:G1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10" customWidth="1" min="3" max="3"/>
    <col width="14" customWidth="1" min="4" max="4"/>
    <col width="11" customWidth="1" min="5" max="5"/>
  </cols>
  <sheetData>
    <row r="1">
      <c r="A1" s="12" t="inlineStr">
        <is>
          <t>Summary</t>
        </is>
      </c>
      <c r="B1" s="13" t="n"/>
    </row>
    <row r="2">
      <c r="A2" s="13" t="n"/>
      <c r="B2" s="13" t="n"/>
    </row>
    <row r="3">
      <c r="A3" s="13" t="inlineStr">
        <is>
          <t>Total TCINs unmapped in dim_product</t>
        </is>
      </c>
      <c r="B3" s="13" t="n">
        <v>10</v>
      </c>
    </row>
    <row r="4">
      <c r="A4" s="13" t="inlineStr">
        <is>
          <t>Total 6-month units (Sep 2026 - Feb 2027)</t>
        </is>
      </c>
      <c r="B4" s="14">
        <f>'Unmapped TCINs'!F12</f>
        <v/>
      </c>
    </row>
    <row r="5">
      <c r="A5" s="13" t="inlineStr">
        <is>
          <t>% of full Target 6-month window (1,282,826 units)</t>
        </is>
      </c>
      <c r="B5" s="15">
        <f>B4/1282826</f>
        <v/>
      </c>
    </row>
    <row r="6">
      <c r="A6" s="13" t="inlineStr">
        <is>
          <t>TCINs with no Shipcast item_group at all</t>
        </is>
      </c>
      <c r="B6" s="13" t="inlineStr">
        <is>
          <t>3 (95285660, 95285661, 95285662 - dept/class 253-6)</t>
        </is>
      </c>
    </row>
    <row r="7">
      <c r="A7" s="13" t="inlineStr">
        <is>
          <t>Rows recommended with high confidence</t>
        </is>
      </c>
      <c r="B7" s="13">
        <f>COUNTIF('Unmapped TCINs'!K2:K11,"High")</f>
        <v/>
      </c>
    </row>
    <row r="8">
      <c r="A8" s="13" t="inlineStr">
        <is>
          <t>Rows needing a human call</t>
        </is>
      </c>
      <c r="B8" s="13">
        <f>COUNTIF('Unmapped TCINs'!K2:K11,"DECISION NEEDED")</f>
        <v/>
      </c>
    </row>
    <row r="9">
      <c r="A9" s="13" t="inlineStr">
        <is>
          <t>Action needed</t>
        </is>
      </c>
      <c r="B9" s="13" t="inlineStr">
        <is>
          <t>Load the recommended category/sub-category below; settle the 2 flagged rows first</t>
        </is>
      </c>
    </row>
    <row r="11">
      <c r="A11" s="16" t="inlineStr">
        <is>
          <t>Recommended assignment - units and item count</t>
        </is>
      </c>
    </row>
    <row r="12">
      <c r="A12" s="17" t="inlineStr">
        <is>
          <t>product_category</t>
        </is>
      </c>
      <c r="B12" s="17" t="inlineStr">
        <is>
          <t>product_sub_category</t>
        </is>
      </c>
      <c r="C12" s="17" t="inlineStr">
        <is>
          <t>TCINs</t>
        </is>
      </c>
      <c r="D12" s="17" t="inlineStr">
        <is>
          <t>6mo Units</t>
        </is>
      </c>
      <c r="E12" s="17" t="inlineStr">
        <is>
          <t>% of set</t>
        </is>
      </c>
    </row>
    <row r="13">
      <c r="A13" s="18" t="inlineStr">
        <is>
          <t>Cleaning</t>
        </is>
      </c>
      <c r="B13" s="18" t="inlineStr">
        <is>
          <t>APC</t>
        </is>
      </c>
      <c r="C13" s="19">
        <f>COUNTIFS('Unmapped TCINs'!$I$2:$I$11,$A13,'Unmapped TCINs'!$J$2:$J$11,$B13)</f>
        <v/>
      </c>
      <c r="D13" s="19">
        <f>SUMIFS('Unmapped TCINs'!$F$2:$F$11,'Unmapped TCINs'!$I$2:$I$11,$A13,'Unmapped TCINs'!$J$2:$J$11,$B13)</f>
        <v/>
      </c>
      <c r="E13" s="20">
        <f>IFERROR(D13/$D$19,0)</f>
        <v/>
      </c>
    </row>
    <row r="14">
      <c r="A14" s="18" t="inlineStr">
        <is>
          <t>Cleaning</t>
        </is>
      </c>
      <c r="B14" s="18" t="inlineStr">
        <is>
          <t>DSN</t>
        </is>
      </c>
      <c r="C14" s="19">
        <f>COUNTIFS('Unmapped TCINs'!$I$2:$I$11,$A14,'Unmapped TCINs'!$J$2:$J$11,$B14)</f>
        <v/>
      </c>
      <c r="D14" s="19">
        <f>SUMIFS('Unmapped TCINs'!$F$2:$F$11,'Unmapped TCINs'!$I$2:$I$11,$A14,'Unmapped TCINs'!$J$2:$J$11,$B14)</f>
        <v/>
      </c>
      <c r="E14" s="20">
        <f>IFERROR(D14/$D$19,0)</f>
        <v/>
      </c>
    </row>
    <row r="15">
      <c r="A15" s="18" t="inlineStr">
        <is>
          <t>Personal Care</t>
        </is>
      </c>
      <c r="B15" s="18" t="inlineStr">
        <is>
          <t>Baby</t>
        </is>
      </c>
      <c r="C15" s="19">
        <f>COUNTIFS('Unmapped TCINs'!$I$2:$I$11,$A15,'Unmapped TCINs'!$J$2:$J$11,$B15)</f>
        <v/>
      </c>
      <c r="D15" s="19">
        <f>SUMIFS('Unmapped TCINs'!$F$2:$F$11,'Unmapped TCINs'!$I$2:$I$11,$A15,'Unmapped TCINs'!$J$2:$J$11,$B15)</f>
        <v/>
      </c>
      <c r="E15" s="20">
        <f>IFERROR(D15/$D$19,0)</f>
        <v/>
      </c>
    </row>
    <row r="16">
      <c r="A16" s="18" t="inlineStr">
        <is>
          <t>Personal Care</t>
        </is>
      </c>
      <c r="B16" s="18" t="inlineStr">
        <is>
          <t>Bundles &amp; Kits</t>
        </is>
      </c>
      <c r="C16" s="19">
        <f>COUNTIFS('Unmapped TCINs'!$I$2:$I$11,$A16,'Unmapped TCINs'!$J$2:$J$11,$B16)</f>
        <v/>
      </c>
      <c r="D16" s="19">
        <f>SUMIFS('Unmapped TCINs'!$F$2:$F$11,'Unmapped TCINs'!$I$2:$I$11,$A16,'Unmapped TCINs'!$J$2:$J$11,$B16)</f>
        <v/>
      </c>
      <c r="E16" s="20">
        <f>IFERROR(D16/$D$19,0)</f>
        <v/>
      </c>
    </row>
    <row r="17">
      <c r="A17" s="18" t="inlineStr">
        <is>
          <t>Personal Care</t>
        </is>
      </c>
      <c r="B17" s="18" t="inlineStr">
        <is>
          <t>Flushable</t>
        </is>
      </c>
      <c r="C17" s="19">
        <f>COUNTIFS('Unmapped TCINs'!$I$2:$I$11,$A17,'Unmapped TCINs'!$J$2:$J$11,$B17)</f>
        <v/>
      </c>
      <c r="D17" s="19">
        <f>SUMIFS('Unmapped TCINs'!$F$2:$F$11,'Unmapped TCINs'!$I$2:$I$11,$A17,'Unmapped TCINs'!$J$2:$J$11,$B17)</f>
        <v/>
      </c>
      <c r="E17" s="20">
        <f>IFERROR(D17/$D$19,0)</f>
        <v/>
      </c>
    </row>
    <row r="18">
      <c r="A18" s="18" t="inlineStr">
        <is>
          <t>Personal Care</t>
        </is>
      </c>
      <c r="B18" s="18" t="inlineStr">
        <is>
          <t>Sanitizing</t>
        </is>
      </c>
      <c r="C18" s="19">
        <f>COUNTIFS('Unmapped TCINs'!$I$2:$I$11,$A18,'Unmapped TCINs'!$J$2:$J$11,$B18)</f>
        <v/>
      </c>
      <c r="D18" s="19">
        <f>SUMIFS('Unmapped TCINs'!$F$2:$F$11,'Unmapped TCINs'!$I$2:$I$11,$A18,'Unmapped TCINs'!$J$2:$J$11,$B18)</f>
        <v/>
      </c>
      <c r="E18" s="20">
        <f>IFERROR(D18/$D$19,0)</f>
        <v/>
      </c>
    </row>
    <row r="19">
      <c r="A19" s="18" t="n"/>
      <c r="B19" s="21" t="inlineStr">
        <is>
          <t>Total</t>
        </is>
      </c>
      <c r="C19" s="22">
        <f>SUM(C13:C18)</f>
        <v/>
      </c>
      <c r="D19" s="22">
        <f>SUM(D13:D18)</f>
        <v/>
      </c>
      <c r="E19" s="23">
        <f>SUM(E13:E18)</f>
        <v/>
      </c>
    </row>
    <row r="21">
      <c r="A21" s="11" t="inlineStr">
        <is>
          <t>Parent category rollup: Personal Care takes 6 of the 10 items, Cleaning 4. Both flagged rows sit in Personal Care under the recommendation; the locked logic as written would move both to Other, which is what makes them worth settling deliberately.</t>
        </is>
      </c>
    </row>
    <row r="22"/>
  </sheetData>
  <mergeCells count="1">
    <mergeCell ref="A21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92" customWidth="1" min="3" max="3"/>
  </cols>
  <sheetData>
    <row r="1">
      <c r="A1" s="12" t="inlineStr">
        <is>
          <t>Two rows need a human call before loading</t>
        </is>
      </c>
    </row>
    <row r="2">
      <c r="A2" s="24" t="inlineStr">
        <is>
          <t>Both are cases where the locked SKU-pattern CASE in canvas_delta.py returns a category that is defensible as code but wrong as merchandising. Applying the logic blindly moves 138,168 units - 34% of this set - into 'Other'.</t>
        </is>
      </c>
    </row>
    <row r="3"/>
    <row r="5">
      <c r="A5" s="25" t="inlineStr">
        <is>
          <t>1011278742 - Sanitizing Go-Pack Holiday Bergamot Bloom, 20ct (102,672 units)</t>
        </is>
      </c>
      <c r="B5" s="26" t="n"/>
      <c r="C5" s="26" t="n"/>
    </row>
    <row r="6">
      <c r="A6" s="27" t="inlineStr">
        <is>
          <t>What the locked CASE returns</t>
        </is>
      </c>
      <c r="B6" s="2" t="inlineStr">
        <is>
          <t>Other / Holiday &amp; Seasonal</t>
        </is>
      </c>
      <c r="C6" s="2" t="inlineStr">
        <is>
          <t>The product_title LIKE '%Holiday%' branch is evaluated before the %WIP-SAN-% branch, so the word 'Holiday' in the Target description wins over the SAN style code.</t>
        </is>
      </c>
    </row>
    <row r="7">
      <c r="A7" s="27" t="inlineStr">
        <is>
          <t>RECOMMENDED</t>
        </is>
      </c>
      <c r="B7" s="5" t="inlineStr">
        <is>
          <t>Personal Care / Sanitizing</t>
        </is>
      </c>
      <c r="C7" s="2" t="inlineStr">
        <is>
          <t>This is a standard 20ct sanitizing hand-wipe go-pack in a seasonal scent, not a seasonal gift item. Its dept/class twin P-20WIP-SAN-STL-TRV is Personal Care / Sanitizing, and the BER scent is already Sanitizing on CSP-WIP-SAN-BER-TRV-40. Every existing Holiday &amp; Seasonal row is a K-HOL- gifting bundle, which this is not.</t>
        </is>
      </c>
    </row>
    <row r="8">
      <c r="A8" s="27" t="inlineStr">
        <is>
          <t>Cost of getting it wrong</t>
        </is>
      </c>
      <c r="B8" s="2" t="inlineStr">
        <is>
          <t>102,672 units</t>
        </is>
      </c>
      <c r="C8" s="2" t="inlineStr">
        <is>
          <t>Taking the CASE output pulls the single largest item in this set out of Personal Care / Sanitizing and into Other, which will show up as a hole in Target Personal Care sell-through from Nov 2026.</t>
        </is>
      </c>
    </row>
    <row r="9">
      <c r="A9" s="27" t="inlineStr">
        <is>
          <t>If you want the seasonal cut anyway</t>
        </is>
      </c>
      <c r="B9" s="2" t="inlineStr">
        <is>
          <t>Keep Sanitizing, flag separately</t>
        </is>
      </c>
      <c r="C9" s="2" t="inlineStr">
        <is>
          <t>Product form and seasonality are different questions. If holiday editions need to be trackable, a separate flag is cleaner than spending the form category on it.</t>
        </is>
      </c>
    </row>
    <row r="11">
      <c r="A11" s="25" t="inlineStr">
        <is>
          <t>95285662 - White Flushable One Handed Kit, 120ct (35,496 units)</t>
        </is>
      </c>
      <c r="B11" s="26" t="n"/>
      <c r="C11" s="26" t="n"/>
    </row>
    <row r="12">
      <c r="A12" s="27" t="inlineStr">
        <is>
          <t>What the locked CASE returns</t>
        </is>
      </c>
      <c r="B12" s="2" t="inlineStr">
        <is>
          <t>Other / Bundles &amp; Kits</t>
        </is>
      </c>
      <c r="C12" s="2" t="inlineStr">
        <is>
          <t>Style K-DIS-2FLU-WHI matches the K-%DIS-%FLU-% branch, which resolves to Other. Its baby counterpart K-DIS-2BAB-WHI avoids this only because of an explicit carve-out branch ('title has Baby AND sku LIKE K-DIS-%BAB-%') added for baby; flushable never got one.</t>
        </is>
      </c>
    </row>
    <row r="13">
      <c r="A13" s="27" t="inlineStr">
        <is>
          <t>RECOMMENDED</t>
        </is>
      </c>
      <c r="B13" s="5" t="inlineStr">
        <is>
          <t>Personal Care / Bundles &amp; Kits</t>
        </is>
      </c>
      <c r="C13" s="2" t="inlineStr">
        <is>
          <t>Matches the Shopify twin of the identical construction - K-DIS-WHI-FLU-FRA 'Flushable Wipes Starter Kit - Biom Home Dispenser' - which is Personal Care / Bundles &amp; Kits. Keeps the dispenser-plus-wipes entry SKU visible as a kit while holding the units in Personal Care.</t>
        </is>
      </c>
    </row>
    <row r="14">
      <c r="A14" s="27" t="inlineStr">
        <is>
          <t>Alternative</t>
        </is>
      </c>
      <c r="B14" s="2" t="inlineStr">
        <is>
          <t>Personal Care / Flushable</t>
        </is>
      </c>
      <c r="C14" s="2" t="inlineStr">
        <is>
          <t>Mirrors the baby treatment - K-DIS-2BAB-WHI is Personal Care / Baby, classified by wipe type rather than by kit-ness. Pick this if you want all of dept/class 253-6 to read as one form in sell-through.</t>
        </is>
      </c>
    </row>
    <row r="15">
      <c r="A15" s="27" t="inlineStr">
        <is>
          <t>Either way</t>
        </is>
      </c>
      <c r="B15" s="2" t="inlineStr">
        <is>
          <t>Parent = Personal Care</t>
        </is>
      </c>
      <c r="C15" s="2" t="inlineStr">
        <is>
          <t>Both options agree the parent is Personal Care, so category-level reporting is unaffected by which sub-category you pick. Only leaving it to the CASE default puts it in Other.</t>
        </is>
      </c>
    </row>
  </sheetData>
  <mergeCells count="3">
    <mergeCell ref="A5:C5"/>
    <mergeCell ref="A2:D3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8" customWidth="1" min="3" max="3"/>
    <col width="17" customWidth="1" min="4" max="4"/>
  </cols>
  <sheetData>
    <row r="1">
      <c r="A1" s="12" t="inlineStr">
        <is>
          <t>How these recommendations were derived</t>
        </is>
      </c>
    </row>
    <row r="3" ht="30" customHeight="1">
      <c r="A3" s="28" t="inlineStr">
        <is>
          <t>1. Confirmed none of the 10 TCINs exist in biom_canvas.dim_product at any version (is_current TRUE or FALSE). They are genuinely absent, not mis-categorised.</t>
        </is>
      </c>
    </row>
    <row r="5" ht="30" customHeight="1">
      <c r="A5" s="28" t="inlineStr">
        <is>
          <t>2. Recovered each item's Biom manufacturer style from the Target item master (bpd_raw.wkly_tcin_item, MODEL NUMBER) and cross-checked it against the inventory feed (bpd_raw.daily_inv_tcin_loc, MANUFACTURER_STYLE). All 10 have one; 89854824's is blank in the item master and was recovered from inventory only.</t>
        </is>
      </c>
    </row>
    <row r="7" ht="30" customHeight="1">
      <c r="A7" s="28" t="inlineStr">
        <is>
          <t>3. Ran each style through the locked, priority-ordered SKU-pattern CASE that dim_product itself uses (pipelines/canvas/canvas_delta.py, get_source_dim_product), including the 2026-07-21 kit reclassification.</t>
        </is>
      </c>
    </row>
    <row r="9" ht="30" customHeight="1">
      <c r="A9" s="28" t="inlineStr">
        <is>
          <t>4. Validated every result against an existing dim_product row already carrying that category - preferring a product in the same Target dept/class where one exists. Those precedents are named per row on the first tab.</t>
        </is>
      </c>
    </row>
    <row r="11" ht="30" customHeight="1">
      <c r="A11" s="28" t="inlineStr">
        <is>
          <t>5. Flagged the two rows where the CASE output and the merchandising reality disagree. Nothing here was assigned from the description text alone.</t>
        </is>
      </c>
    </row>
    <row r="13" ht="8" customHeight="1">
      <c r="A13" s="28" t="inlineStr"/>
    </row>
    <row r="15" ht="30" customHeight="1">
      <c r="A15" s="28" t="inlineStr">
        <is>
          <t>Note: the taxonomy keys off the manufacturer style, not Target's dept/class or class description. Target labels both go-pack disinfecting SKUs 'All-Purpose Cleaners'; the styles say DSN, and DSN is what the taxonomy means.</t>
        </is>
      </c>
    </row>
    <row r="18">
      <c r="A18" s="16" t="inlineStr">
        <is>
          <t>Valid product_category / product_sub_category pairs in dim_product today</t>
        </is>
      </c>
    </row>
    <row r="20">
      <c r="A20" s="17" t="inlineStr">
        <is>
          <t>product_category</t>
        </is>
      </c>
      <c r="B20" s="17" t="inlineStr">
        <is>
          <t>product_sub_category</t>
        </is>
      </c>
      <c r="C20" s="17" t="inlineStr">
        <is>
          <t>Products (current)</t>
        </is>
      </c>
      <c r="D20" s="17" t="inlineStr">
        <is>
          <t>Used in this set</t>
        </is>
      </c>
    </row>
    <row r="21">
      <c r="A21" s="18" t="inlineStr">
        <is>
          <t>Cleaning</t>
        </is>
      </c>
      <c r="B21" s="18" t="inlineStr">
        <is>
          <t>APC</t>
        </is>
      </c>
      <c r="C21" s="19" t="n">
        <v>119</v>
      </c>
      <c r="D21" s="18">
        <f>COUNTIFS('Unmapped TCINs'!$I$2:$I$11,$A21,'Unmapped TCINs'!$J$2:$J$11,$B21)</f>
        <v/>
      </c>
    </row>
    <row r="22">
      <c r="A22" s="18" t="inlineStr">
        <is>
          <t>Cleaning</t>
        </is>
      </c>
      <c r="B22" s="18" t="inlineStr">
        <is>
          <t>Bundles &amp; Kits</t>
        </is>
      </c>
      <c r="C22" s="19" t="n">
        <v>151</v>
      </c>
      <c r="D22" s="18">
        <f>COUNTIFS('Unmapped TCINs'!$I$2:$I$11,$A22,'Unmapped TCINs'!$J$2:$J$11,$B22)</f>
        <v/>
      </c>
    </row>
    <row r="23">
      <c r="A23" s="18" t="inlineStr">
        <is>
          <t>Cleaning</t>
        </is>
      </c>
      <c r="B23" s="18" t="inlineStr">
        <is>
          <t>DSN</t>
        </is>
      </c>
      <c r="C23" s="19" t="n">
        <v>25</v>
      </c>
      <c r="D23" s="18">
        <f>COUNTIFS('Unmapped TCINs'!$I$2:$I$11,$A23,'Unmapped TCINs'!$J$2:$J$11,$B23)</f>
        <v/>
      </c>
    </row>
    <row r="24">
      <c r="A24" s="18" t="inlineStr">
        <is>
          <t>Dispensers</t>
        </is>
      </c>
      <c r="B24" s="18" t="inlineStr">
        <is>
          <t>Full Size</t>
        </is>
      </c>
      <c r="C24" s="19" t="n">
        <v>41</v>
      </c>
      <c r="D24" s="18">
        <f>COUNTIFS('Unmapped TCINs'!$I$2:$I$11,$A24,'Unmapped TCINs'!$J$2:$J$11,$B24)</f>
        <v/>
      </c>
    </row>
    <row r="25">
      <c r="A25" s="18" t="inlineStr">
        <is>
          <t>Dispensers</t>
        </is>
      </c>
      <c r="B25" s="18" t="inlineStr">
        <is>
          <t>Mini</t>
        </is>
      </c>
      <c r="C25" s="19" t="n">
        <v>28</v>
      </c>
      <c r="D25" s="18">
        <f>COUNTIFS('Unmapped TCINs'!$I$2:$I$11,$A25,'Unmapped TCINs'!$J$2:$J$11,$B25)</f>
        <v/>
      </c>
    </row>
    <row r="26">
      <c r="A26" s="18" t="inlineStr">
        <is>
          <t>Other</t>
        </is>
      </c>
      <c r="B26" s="18" t="inlineStr">
        <is>
          <t>Accessories</t>
        </is>
      </c>
      <c r="C26" s="19" t="n">
        <v>6</v>
      </c>
      <c r="D26" s="18">
        <f>COUNTIFS('Unmapped TCINs'!$I$2:$I$11,$A26,'Unmapped TCINs'!$J$2:$J$11,$B26)</f>
        <v/>
      </c>
    </row>
    <row r="27">
      <c r="A27" s="18" t="inlineStr">
        <is>
          <t>Other</t>
        </is>
      </c>
      <c r="B27" s="18" t="inlineStr">
        <is>
          <t>Bundles &amp; Kits</t>
        </is>
      </c>
      <c r="C27" s="19" t="n">
        <v>54</v>
      </c>
      <c r="D27" s="18">
        <f>COUNTIFS('Unmapped TCINs'!$I$2:$I$11,$A27,'Unmapped TCINs'!$J$2:$J$11,$B27)</f>
        <v/>
      </c>
    </row>
    <row r="28">
      <c r="A28" s="18" t="inlineStr">
        <is>
          <t>Other</t>
        </is>
      </c>
      <c r="B28" s="18" t="inlineStr">
        <is>
          <t>Holiday &amp; Seasonal</t>
        </is>
      </c>
      <c r="C28" s="19" t="n">
        <v>4</v>
      </c>
      <c r="D28" s="18">
        <f>COUNTIFS('Unmapped TCINs'!$I$2:$I$11,$A28,'Unmapped TCINs'!$J$2:$J$11,$B28)</f>
        <v/>
      </c>
    </row>
    <row r="29">
      <c r="A29" s="18" t="inlineStr">
        <is>
          <t>Other</t>
        </is>
      </c>
      <c r="B29" s="18" t="inlineStr">
        <is>
          <t>Unassigned</t>
        </is>
      </c>
      <c r="C29" s="19" t="n">
        <v>8</v>
      </c>
      <c r="D29" s="18">
        <f>COUNTIFS('Unmapped TCINs'!$I$2:$I$11,$A29,'Unmapped TCINs'!$J$2:$J$11,$B29)</f>
        <v/>
      </c>
    </row>
    <row r="30">
      <c r="A30" s="18" t="inlineStr">
        <is>
          <t>Personal Care</t>
        </is>
      </c>
      <c r="B30" s="18" t="inlineStr">
        <is>
          <t>Baby</t>
        </is>
      </c>
      <c r="C30" s="19" t="n">
        <v>38</v>
      </c>
      <c r="D30" s="18">
        <f>COUNTIFS('Unmapped TCINs'!$I$2:$I$11,$A30,'Unmapped TCINs'!$J$2:$J$11,$B30)</f>
        <v/>
      </c>
    </row>
    <row r="31">
      <c r="A31" s="18" t="inlineStr">
        <is>
          <t>Personal Care</t>
        </is>
      </c>
      <c r="B31" s="18" t="inlineStr">
        <is>
          <t>Body Care</t>
        </is>
      </c>
      <c r="C31" s="19" t="n">
        <v>8</v>
      </c>
      <c r="D31" s="18">
        <f>COUNTIFS('Unmapped TCINs'!$I$2:$I$11,$A31,'Unmapped TCINs'!$J$2:$J$11,$B31)</f>
        <v/>
      </c>
    </row>
    <row r="32">
      <c r="A32" s="18" t="inlineStr">
        <is>
          <t>Personal Care</t>
        </is>
      </c>
      <c r="B32" s="18" t="inlineStr">
        <is>
          <t>Bundles &amp; Kits</t>
        </is>
      </c>
      <c r="C32" s="19" t="n">
        <v>135</v>
      </c>
      <c r="D32" s="18">
        <f>COUNTIFS('Unmapped TCINs'!$I$2:$I$11,$A32,'Unmapped TCINs'!$J$2:$J$11,$B32)</f>
        <v/>
      </c>
    </row>
    <row r="33">
      <c r="A33" s="18" t="inlineStr">
        <is>
          <t>Personal Care</t>
        </is>
      </c>
      <c r="B33" s="18" t="inlineStr">
        <is>
          <t>Flushable</t>
        </is>
      </c>
      <c r="C33" s="19" t="n">
        <v>21</v>
      </c>
      <c r="D33" s="18">
        <f>COUNTIFS('Unmapped TCINs'!$I$2:$I$11,$A33,'Unmapped TCINs'!$J$2:$J$11,$B33)</f>
        <v/>
      </c>
    </row>
    <row r="34">
      <c r="A34" s="18" t="inlineStr">
        <is>
          <t>Personal Care</t>
        </is>
      </c>
      <c r="B34" s="18" t="inlineStr">
        <is>
          <t>Sanitizing</t>
        </is>
      </c>
      <c r="C34" s="19" t="n">
        <v>79</v>
      </c>
      <c r="D34" s="18">
        <f>COUNTIFS('Unmapped TCINs'!$I$2:$I$11,$A34,'Unmapped TCINs'!$J$2:$J$11,$B34)</f>
        <v/>
      </c>
    </row>
    <row r="35">
      <c r="B35" s="9" t="inlineStr">
        <is>
          <t>Total</t>
        </is>
      </c>
      <c r="C35" s="10">
        <f>SUM(C21:C34)</f>
        <v/>
      </c>
      <c r="D35" s="9">
        <f>SUM(D21:D34)</f>
        <v/>
      </c>
    </row>
    <row r="37">
      <c r="A37" s="29" t="inlineStr">
        <is>
          <t>Counts are current rows in biom_canvas.dim_product WHERE is_current = TRUE, read 2026-09-11. 'Other / Unassigned' is not a target - it is where things land when nothing matches.</t>
        </is>
      </c>
    </row>
  </sheetData>
  <mergeCells count="8">
    <mergeCell ref="A5:D5"/>
    <mergeCell ref="A37:D37"/>
    <mergeCell ref="A9:D9"/>
    <mergeCell ref="A3:D3"/>
    <mergeCell ref="A15:D15"/>
    <mergeCell ref="A7:D7"/>
    <mergeCell ref="A11:D1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2026-09-11T15:01:34Z</dcterms:created>
  <dcterms:modified xsi:type="dcterms:W3CDTF">2026-09-11T15:01:34Z</dcterms:modified>
</cp:coreProperties>
</file>